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0" yWindow="495" windowWidth="20730" windowHeight="1176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Dataset!$A$1:$A$41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6" l="1"/>
  <c r="F6" i="18" l="1"/>
  <c r="C6" i="18" l="1"/>
  <c r="C29" i="18" s="1"/>
  <c r="C22" i="19"/>
  <c r="B49" i="16"/>
  <c r="B50" i="16"/>
  <c r="B51" i="16"/>
  <c r="B52" i="16"/>
  <c r="B53" i="16"/>
  <c r="B54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F28" i="18"/>
  <c r="E28" i="18"/>
  <c r="D28" i="18"/>
  <c r="C28" i="18"/>
  <c r="B28" i="18"/>
  <c r="F30" i="18"/>
  <c r="E30" i="18"/>
  <c r="D30" i="18"/>
  <c r="F29" i="18"/>
  <c r="E29" i="18"/>
  <c r="D29" i="18"/>
  <c r="C30" i="18"/>
  <c r="B29" i="18"/>
  <c r="B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B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H41" i="1" l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<sst xmlns="http://schemas.openxmlformats.org/spreadsheetml/2006/main" count="405" uniqueCount="182">
  <si>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</si>
  <si>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</si>
  <si>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</si>
  <si>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</si>
  <si>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</si>
  <si>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</si>
  <si>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</si>
  <si>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</si>
  <si>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</si>
  <si>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</si>
  <si>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</si>
  <si>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</si>
  <si>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</si>
  <si>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</si>
  <si>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</si>
  <si>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</si>
  <si>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</si>
  <si>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</si>
  <si>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</si>
  <si>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</si>
  <si>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</si>
  <si>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</si>
  <si>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</si>
  <si>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</si>
  <si>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</si>
  <si>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</si>
  <si>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</si>
  <si>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</si>
  <si>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</si>
  <si>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</si>
  <si>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</si>
  <si>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</si>
  <si>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</si>
  <si>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</si>
  <si>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</si>
  <si>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</si>
  <si>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</si>
  <si>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</si>
  <si>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</si>
  <si>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</si>
  <si>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</si>
  <si>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</si>
  <si>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</si>
  <si>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</si>
  <si>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</si>
  <si>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</si>
  <si>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</si>
  <si>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</si>
  <si>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</si>
  <si>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</si>
  <si>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</si>
  <si>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</si>
  <si>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</si>
  <si>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</si>
  <si>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</si>
  <si>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</si>
  <si>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</si>
  <si>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</si>
  <si>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</si>
  <si>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</si>
  <si>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</si>
  <si>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</si>
  <si>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</si>
  <si>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</si>
  <si>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</si>
  <si>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</si>
  <si>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</si>
  <si>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</si>
  <si>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</si>
  <si>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</si>
  <si>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</si>
  <si>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</si>
  <si>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</si>
  <si>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</si>
  <si>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</si>
  <si>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</si>
  <si>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</si>
  <si>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</si>
  <si>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</si>
  <si>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</si>
  <si>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</si>
  <si>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</si>
  <si>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</si>
  <si>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</si>
  <si>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</si>
  <si>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</si>
  <si>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</si>
  <si>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</si>
  <si>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</si>
  <si>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</si>
  <si>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</si>
  <si>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</si>
  <si>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</si>
  <si>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</si>
  <si>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</si>
  <si>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</si>
  <si>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</si>
  <si>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</si>
  <si>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</si>
  <si>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</si>
  <si>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</si>
  <si>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</si>
  <si>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</si>
  <si>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</si>
  <si>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</si>
  <si>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</si>
  <si>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</si>
  <si>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</si>
  <si>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</si>
  <si>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</si>
  <si>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</si>
  <si>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</si>
  <si>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</si>
  <si>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</si>
  <si>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</si>
  <si>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</si>
  <si>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</si>
  <si>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</si>
  <si>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</si>
  <si>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</si>
  <si>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</si>
  <si>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</si>
  <si>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</si>
  <si>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</si>
  <si>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</si>
  <si>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</si>
  <si>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</si>
  <si>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</si>
  <si>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</si>
  <si>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</si>
  <si>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</si>
  <si>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</si>
  <si>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</si>
  <si>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</si>
  <si>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</si>
  <si>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</si>
  <si>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</si>
  <si>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</si>
  <si>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</si>
  <si>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</si>
  <si>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</si>
  <si>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</si>
  <si>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</si>
  <si>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</si>
  <si>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</si>
  <si>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</si>
  <si>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</si>
  <si>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</si>
  <si>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</si>
  <si>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</si>
  <si>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</si>
  <si>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</si>
  <si>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</si>
  <si>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</si>
  <si>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</si>
  <si>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</si>
  <si>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</si>
  <si>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</si>
  <si>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</si>
  <si>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</si>
  <si>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</si>
  <si>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</si>
  <si>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</si>
  <si>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</si>
  <si>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</si>
  <si>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</si>
  <si>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</si>
  <si>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</si>
  <si>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</si>
  <si>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</si>
  <si>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</si>
  <si>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</si>
  <si>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</si>
  <si>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</si>
  <si>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</si>
  <si>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</si>
  <si>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</si>
  <si>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=SUMIF(H2:H40, "&gt;20")</t>
  </si>
  <si>
    <t>Find &amp; select</t>
  </si>
  <si>
    <t>since the requirement is to replace NA with 20, I decided to go for find and replace method.  Home-&gt;find&amp;select-&gt;find-&gt;replace  all</t>
  </si>
  <si>
    <t>=LEFT</t>
  </si>
  <si>
    <t>I used  left formula to bring the left side of values, then used autofill for further, Other way is we can use text to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</si>
</sst>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14" fillId="0" borderId="0" xfId="0" quotePrefix="1" applyFont="1"/>
    <xf numFmtId="165" fontId="7" fillId="0" borderId="0" xfId="0" applyNumberFormat="1" applyFont="1"/>
    <xf numFmtId="165" fontId="3" fillId="0" borderId="0" xfId="0" applyNumberFormat="1" applyFont="1"/>
    <xf numFmtId="0" fontId="3" fillId="0" borderId="8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3" fillId="0" borderId="2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0" borderId="4" xfId="0" applyFont="1" applyBorder="1" applyAlignment="1">
      <alignment wrapText="1"/>
    </xf>
    <xf numFmtId="0" fontId="15" fillId="0" borderId="0" xfId="0" quotePrefix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6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3" t="s">
        <v>171</v>
      </c>
      <c r="B9" s="24" t="s">
        <v>169</v>
      </c>
    </row>
    <row r="10" spans="1:3" x14ac:dyDescent="0.2">
      <c r="A10" s="32" t="s">
        <v>172</v>
      </c>
      <c r="B10" s="34">
        <v>25</v>
      </c>
    </row>
    <row r="11" spans="1:3" x14ac:dyDescent="0.2">
      <c r="A11" s="32" t="s">
        <v>55</v>
      </c>
      <c r="B11" s="34">
        <v>30</v>
      </c>
    </row>
    <row r="12" spans="1:3" x14ac:dyDescent="0.2">
      <c r="A12" s="32" t="s">
        <v>56</v>
      </c>
      <c r="B12" s="34">
        <v>10</v>
      </c>
    </row>
    <row r="13" spans="1:3" x14ac:dyDescent="0.2">
      <c r="A13" s="32" t="s">
        <v>85</v>
      </c>
      <c r="B13" s="34">
        <v>20</v>
      </c>
    </row>
    <row r="14" spans="1:3" x14ac:dyDescent="0.2">
      <c r="A14" s="32" t="s">
        <v>98</v>
      </c>
      <c r="B14" s="34">
        <v>40</v>
      </c>
    </row>
    <row r="15" spans="1:3" x14ac:dyDescent="0.2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abSelected="1" zoomScaleNormal="100" workbookViewId="0">
      <pane ySplit="1" topLeftCell="A2" activePane="bottomLeft" state="frozen"/>
      <selection activeCell="F1" sqref="F1"/>
      <selection pane="bottomLeft" sqref="A1:A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H41" s="1">
        <f>SUMIF(H2:H40, "&gt;20")</f>
        <v>1473.0000000000002</v>
      </c>
    </row>
  </sheetData>
  <autoFilter ref="A1:A41"/>
  <conditionalFormatting sqref="E1:X40">
    <cfRule type="cellIs" dxfId="1" priority="2" operator="equal">
      <formula>0</formula>
    </cfRule>
  </conditionalFormatting>
  <conditionalFormatting sqref="G1:X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13" sqref="B13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3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8" zoomScaleNormal="100" workbookViewId="0">
      <selection activeCell="F7" sqref="F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8" customFormat="1" ht="21" x14ac:dyDescent="0.35">
      <c r="A1" s="39" t="s">
        <v>55</v>
      </c>
      <c r="B1" s="38" t="s">
        <v>164</v>
      </c>
    </row>
    <row r="2" spans="1:7" s="38" customFormat="1" ht="21" x14ac:dyDescent="0.35">
      <c r="B2" s="38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11">
        <f>VLOOKUP(A6,Dataset!$1:$1048576,7,FALSE)</f>
        <v>2.7</v>
      </c>
      <c r="C6" s="11">
        <f>VLOOKUP(A6,Dataset!$1:$1048576,14,FALSE)</f>
        <v>7.6</v>
      </c>
      <c r="D6" s="11">
        <f>VLOOKUP(A6,Dataset!$1:$1048576,18,FALSE)</f>
        <v>4.2</v>
      </c>
      <c r="E6" s="11">
        <f>VLOOKUP(A6,Dataset!$1:$1048576,20,FALSE)</f>
        <v>8.9</v>
      </c>
      <c r="F6" s="8">
        <f>VLOOKUP(A6,Dataset!$1:$1048576,22,FALSE)</f>
        <v>4.2</v>
      </c>
    </row>
    <row r="7" spans="1:7" ht="15" x14ac:dyDescent="0.25">
      <c r="A7" s="7" t="s">
        <v>4</v>
      </c>
      <c r="B7" s="11">
        <f>VLOOKUP(A7,Dataset!$1:$1048576,7,FALSE)</f>
        <v>2.7</v>
      </c>
      <c r="C7" s="11">
        <f>VLOOKUP(A7,Dataset!$1:$1048576,14,FALSE)</f>
        <v>7.6</v>
      </c>
      <c r="D7" s="11">
        <f>VLOOKUP(A7,Dataset!$1:$1048576,18,FALSE)</f>
        <v>4.2</v>
      </c>
      <c r="E7" s="11">
        <f>VLOOKUP(A7,Dataset!$1:$1048576,20,FALSE)</f>
        <v>8.9</v>
      </c>
      <c r="F7" s="8">
        <f>VLOOKUP(A7,Dataset!$1:$1048576,22,FALSE)</f>
        <v>4.2</v>
      </c>
    </row>
    <row r="8" spans="1:7" ht="15" x14ac:dyDescent="0.25">
      <c r="A8" s="7" t="s">
        <v>7</v>
      </c>
      <c r="B8" s="11">
        <f>VLOOKUP(A8,Dataset!$1:$1048576,7,FALSE)</f>
        <v>3.6</v>
      </c>
      <c r="C8" s="11">
        <f>VLOOKUP(A8,Dataset!$1:$1048576,14,FALSE)</f>
        <v>11.1</v>
      </c>
      <c r="D8" s="11">
        <f>VLOOKUP(A8,Dataset!$1:$1048576,18,FALSE)</f>
        <v>5.8</v>
      </c>
      <c r="E8" s="11">
        <f>VLOOKUP(A8,Dataset!$1:$1048576,20,FALSE)</f>
        <v>12.2</v>
      </c>
      <c r="F8" s="8">
        <f>VLOOKUP(A8,Dataset!$1:$1048576,22,FALSE)</f>
        <v>5.8</v>
      </c>
    </row>
    <row r="9" spans="1:7" ht="15" x14ac:dyDescent="0.25">
      <c r="A9" s="7" t="s">
        <v>8</v>
      </c>
      <c r="B9" s="11">
        <f>VLOOKUP(A9,Dataset!$1:$1048576,7,FALSE)</f>
        <v>4.9000000000000004</v>
      </c>
      <c r="C9" s="11">
        <f>VLOOKUP(A9,Dataset!$1:$1048576,14,FALSE)</f>
        <v>13.3</v>
      </c>
      <c r="D9" s="11">
        <f>VLOOKUP(A9,Dataset!$1:$1048576,18,FALSE)</f>
        <v>8.1</v>
      </c>
      <c r="E9" s="11">
        <f>VLOOKUP(A9,Dataset!$1:$1048576,20,FALSE)</f>
        <v>17</v>
      </c>
      <c r="F9" s="8">
        <f>VLOOKUP(A9,Dataset!$1:$1048576,22,FALSE)</f>
        <v>8.1</v>
      </c>
    </row>
    <row r="10" spans="1:7" ht="15" x14ac:dyDescent="0.25">
      <c r="A10" s="7" t="s">
        <v>11</v>
      </c>
      <c r="B10" s="11">
        <f>VLOOKUP(A10,Dataset!$1:$1048576,7,FALSE)</f>
        <v>9.4</v>
      </c>
      <c r="C10" s="11">
        <f>VLOOKUP(A10,Dataset!$1:$1048576,14,FALSE)</f>
        <v>28.3</v>
      </c>
      <c r="D10" s="11">
        <f>VLOOKUP(A10,Dataset!$1:$1048576,18,FALSE)</f>
        <v>16.100000000000001</v>
      </c>
      <c r="E10" s="11">
        <f>VLOOKUP(A10,Dataset!$1:$1048576,20,FALSE)</f>
        <v>32.799999999999997</v>
      </c>
      <c r="F10" s="8">
        <f>VLOOKUP(A10,Dataset!$1:$1048576,22,FALSE)</f>
        <v>16.100000000000001</v>
      </c>
    </row>
    <row r="11" spans="1:7" ht="15" x14ac:dyDescent="0.25">
      <c r="A11" s="7" t="s">
        <v>12</v>
      </c>
      <c r="B11" s="11">
        <f>VLOOKUP(A11,Dataset!$1:$1048576,7,FALSE)</f>
        <v>11.6</v>
      </c>
      <c r="C11" s="11">
        <f>VLOOKUP(A11,Dataset!$1:$1048576,14,FALSE)</f>
        <v>35.200000000000003</v>
      </c>
      <c r="D11" s="11">
        <f>VLOOKUP(A11,Dataset!$1:$1048576,18,FALSE)</f>
        <v>21.3</v>
      </c>
      <c r="E11" s="11">
        <f>VLOOKUP(A11,Dataset!$1:$1048576,20,FALSE)</f>
        <v>43</v>
      </c>
      <c r="F11" s="8">
        <f>VLOOKUP(A11,Dataset!$1:$1048576,22,FALSE)</f>
        <v>21.3</v>
      </c>
    </row>
    <row r="12" spans="1:7" ht="15" x14ac:dyDescent="0.25">
      <c r="A12" s="7" t="s">
        <v>14</v>
      </c>
      <c r="B12" s="11">
        <f>VLOOKUP(A12,Dataset!$1:$1048576,7,FALSE)</f>
        <v>18.399999999999999</v>
      </c>
      <c r="C12" s="11">
        <f>VLOOKUP(A12,Dataset!$1:$1048576,14,FALSE)</f>
        <v>55.6</v>
      </c>
      <c r="D12" s="11">
        <f>VLOOKUP(A12,Dataset!$1:$1048576,18,FALSE)</f>
        <v>33.799999999999997</v>
      </c>
      <c r="E12" s="11">
        <f>VLOOKUP(A12,Dataset!$1:$1048576,20,FALSE)</f>
        <v>67.900000000000006</v>
      </c>
      <c r="F12" s="8">
        <f>VLOOKUP(A12,Dataset!$1:$1048576,22,FALSE)</f>
        <v>33.799999999999997</v>
      </c>
    </row>
    <row r="13" spans="1:7" ht="15" x14ac:dyDescent="0.25">
      <c r="A13" s="7" t="s">
        <v>15</v>
      </c>
      <c r="B13" s="11">
        <f>VLOOKUP(A13,Dataset!$1:$1048576,7,FALSE)</f>
        <v>0</v>
      </c>
      <c r="C13" s="11">
        <f>VLOOKUP(A13,Dataset!$1:$1048576,14,FALSE)</f>
        <v>0</v>
      </c>
      <c r="D13" s="11">
        <f>VLOOKUP(A13,Dataset!$1:$1048576,18,FALSE)</f>
        <v>0</v>
      </c>
      <c r="E13" s="11">
        <f>VLOOKUP(A13,Dataset!$1:$1048576,20,FALSE)</f>
        <v>0</v>
      </c>
      <c r="F13" s="8">
        <f>VLOOKUP(A13,Dataset!$1:$1048576,22,FALSE)</f>
        <v>0</v>
      </c>
    </row>
    <row r="14" spans="1:7" ht="15" x14ac:dyDescent="0.25">
      <c r="A14" s="7" t="s">
        <v>16</v>
      </c>
      <c r="B14" s="11">
        <f>VLOOKUP(A14,Dataset!$1:$1048576,7,FALSE)</f>
        <v>21.9</v>
      </c>
      <c r="C14" s="11">
        <f>VLOOKUP(A14,Dataset!$1:$1048576,14,FALSE)</f>
        <v>61.5</v>
      </c>
      <c r="D14" s="11">
        <f>VLOOKUP(A14,Dataset!$1:$1048576,18,FALSE)</f>
        <v>40.1</v>
      </c>
      <c r="E14" s="11">
        <f>VLOOKUP(A14,Dataset!$1:$1048576,20,FALSE)</f>
        <v>76.599999999999994</v>
      </c>
      <c r="F14" s="8">
        <f>VLOOKUP(A14,Dataset!$1:$1048576,22,FALSE)</f>
        <v>40.1</v>
      </c>
    </row>
    <row r="15" spans="1:7" ht="15" x14ac:dyDescent="0.25">
      <c r="A15" s="7" t="s">
        <v>18</v>
      </c>
      <c r="B15" s="11">
        <f>VLOOKUP(A15,Dataset!$1:$1048576,7,FALSE)</f>
        <v>26.8</v>
      </c>
      <c r="C15" s="11">
        <f>VLOOKUP(A15,Dataset!$1:$1048576,14,FALSE)</f>
        <v>79.599999999999994</v>
      </c>
      <c r="D15" s="11">
        <f>VLOOKUP(A15,Dataset!$1:$1048576,18,FALSE)</f>
        <v>47.9</v>
      </c>
      <c r="E15" s="11">
        <f>VLOOKUP(A15,Dataset!$1:$1048576,20,FALSE)</f>
        <v>96.8</v>
      </c>
      <c r="F15" s="8">
        <f>VLOOKUP(A15,Dataset!$1:$1048576,22,FALSE)</f>
        <v>47.9</v>
      </c>
    </row>
    <row r="16" spans="1:7" ht="15" x14ac:dyDescent="0.25">
      <c r="A16" s="7" t="s">
        <v>20</v>
      </c>
      <c r="B16" s="11">
        <f>VLOOKUP(A16,Dataset!$1:$1048576,7,FALSE)</f>
        <v>28.5</v>
      </c>
      <c r="C16" s="11">
        <f>VLOOKUP(A16,Dataset!$1:$1048576,14,FALSE)</f>
        <v>85.4</v>
      </c>
      <c r="D16" s="11">
        <f>VLOOKUP(A16,Dataset!$1:$1048576,18,FALSE)</f>
        <v>52.3</v>
      </c>
      <c r="E16" s="11">
        <f>VLOOKUP(A16,Dataset!$1:$1048576,20,FALSE)</f>
        <v>106.1</v>
      </c>
      <c r="F16" s="8">
        <f>VLOOKUP(A16,Dataset!$1:$1048576,22,FALSE)</f>
        <v>52.3</v>
      </c>
    </row>
    <row r="17" spans="1:6" ht="15" x14ac:dyDescent="0.25">
      <c r="A17" s="7" t="s">
        <v>22</v>
      </c>
      <c r="B17" s="11">
        <f>VLOOKUP(A17,Dataset!$1:$1048576,7,FALSE)</f>
        <v>30.7</v>
      </c>
      <c r="C17" s="11">
        <f>VLOOKUP(A17,Dataset!$1:$1048576,14,FALSE)</f>
        <v>92.1</v>
      </c>
      <c r="D17" s="11">
        <f>VLOOKUP(A17,Dataset!$1:$1048576,18,FALSE)</f>
        <v>57</v>
      </c>
      <c r="E17" s="11">
        <f>VLOOKUP(A17,Dataset!$1:$1048576,20,FALSE)</f>
        <v>115.1</v>
      </c>
      <c r="F17" s="8">
        <f>VLOOKUP(A17,Dataset!$1:$1048576,22,FALSE)</f>
        <v>57</v>
      </c>
    </row>
    <row r="18" spans="1:6" ht="15" x14ac:dyDescent="0.25">
      <c r="A18" s="7" t="s">
        <v>23</v>
      </c>
      <c r="B18" s="11">
        <f>VLOOKUP(A18,Dataset!$1:$1048576,7,FALSE)</f>
        <v>33.799999999999997</v>
      </c>
      <c r="C18" s="11">
        <f>VLOOKUP(A18,Dataset!$1:$1048576,14,FALSE)</f>
        <v>101.3</v>
      </c>
      <c r="D18" s="11">
        <f>VLOOKUP(A18,Dataset!$1:$1048576,18,FALSE)</f>
        <v>61.4</v>
      </c>
      <c r="E18" s="11">
        <f>VLOOKUP(A18,Dataset!$1:$1048576,20,FALSE)</f>
        <v>124.4</v>
      </c>
      <c r="F18" s="8">
        <f>VLOOKUP(A18,Dataset!$1:$1048576,22,FALSE)</f>
        <v>61.4</v>
      </c>
    </row>
    <row r="19" spans="1:6" ht="15" x14ac:dyDescent="0.25">
      <c r="A19" s="7" t="s">
        <v>24</v>
      </c>
      <c r="B19" s="11">
        <f>VLOOKUP(A19,Dataset!$1:$1048576,7,FALSE)</f>
        <v>34.700000000000003</v>
      </c>
      <c r="C19" s="11">
        <f>VLOOKUP(A19,Dataset!$1:$1048576,14,FALSE)</f>
        <v>106.1</v>
      </c>
      <c r="D19" s="11">
        <f>VLOOKUP(A19,Dataset!$1:$1048576,18,FALSE)</f>
        <v>63.6</v>
      </c>
      <c r="E19" s="11">
        <f>VLOOKUP(A19,Dataset!$1:$1048576,20,FALSE)</f>
        <v>128.6</v>
      </c>
      <c r="F19" s="8">
        <f>VLOOKUP(A19,Dataset!$1:$1048576,22,FALSE)</f>
        <v>63.6</v>
      </c>
    </row>
    <row r="20" spans="1:6" ht="15" x14ac:dyDescent="0.25">
      <c r="A20" s="7" t="s">
        <v>28</v>
      </c>
      <c r="B20" s="11">
        <f>VLOOKUP(A20,Dataset!$1:$1048576,7,FALSE)</f>
        <v>0</v>
      </c>
      <c r="C20" s="11">
        <f>VLOOKUP(A20,Dataset!$1:$1048576,14,FALSE)</f>
        <v>0</v>
      </c>
      <c r="D20" s="11">
        <f>VLOOKUP(A20,Dataset!$1:$1048576,18,FALSE)</f>
        <v>0</v>
      </c>
      <c r="E20" s="11">
        <f>VLOOKUP(A20,Dataset!$1:$1048576,20,FALSE)</f>
        <v>0</v>
      </c>
      <c r="F20" s="8">
        <f>VLOOKUP(A20,Dataset!$1:$1048576,22,FALSE)</f>
        <v>0</v>
      </c>
    </row>
    <row r="21" spans="1:6" ht="15" x14ac:dyDescent="0.25">
      <c r="A21" s="7" t="s">
        <v>57</v>
      </c>
      <c r="B21" s="11">
        <f>VLOOKUP(A21,Dataset!$1:$1048576,7,FALSE)</f>
        <v>41.3</v>
      </c>
      <c r="C21" s="11">
        <f>VLOOKUP(A21,Dataset!$1:$1048576,14,FALSE)</f>
        <v>124.4</v>
      </c>
      <c r="D21" s="11">
        <f>VLOOKUP(A21,Dataset!$1:$1048576,18,FALSE)</f>
        <v>75</v>
      </c>
      <c r="E21" s="11">
        <f>VLOOKUP(A21,Dataset!$1:$1048576,20,FALSE)</f>
        <v>151.5</v>
      </c>
      <c r="F21" s="8">
        <f>VLOOKUP(A21,Dataset!$1:$1048576,22,FALSE)</f>
        <v>75</v>
      </c>
    </row>
    <row r="22" spans="1:6" ht="15" x14ac:dyDescent="0.25">
      <c r="A22" s="7" t="s">
        <v>58</v>
      </c>
      <c r="B22" s="11">
        <f>VLOOKUP(A22,Dataset!$1:$1048576,7,FALSE)</f>
        <v>-1</v>
      </c>
      <c r="C22" s="11">
        <f>VLOOKUP(A22,Dataset!$1:$1048576,14,FALSE)</f>
        <v>-1</v>
      </c>
      <c r="D22" s="11">
        <f>VLOOKUP(A22,Dataset!$1:$1048576,18,FALSE)</f>
        <v>-1</v>
      </c>
      <c r="E22" s="11">
        <f>VLOOKUP(A22,Dataset!$1:$1048576,20,FALSE)</f>
        <v>-1</v>
      </c>
      <c r="F22" s="8">
        <f>VLOOKUP(A22,Dataset!$1:$1048576,22,FALSE)</f>
        <v>-1</v>
      </c>
    </row>
    <row r="23" spans="1:6" ht="15" x14ac:dyDescent="0.25">
      <c r="A23" s="7" t="s">
        <v>31</v>
      </c>
      <c r="B23" s="11">
        <f>VLOOKUP(A23,Dataset!$1:$1048576,7,FALSE)</f>
        <v>45</v>
      </c>
      <c r="C23" s="11">
        <f>VLOOKUP(A23,Dataset!$1:$1048576,14,FALSE)</f>
        <v>133.4</v>
      </c>
      <c r="D23" s="11">
        <f>VLOOKUP(A23,Dataset!$1:$1048576,18,FALSE)</f>
        <v>79.400000000000006</v>
      </c>
      <c r="E23" s="11">
        <f>VLOOKUP(A23,Dataset!$1:$1048576,20,FALSE)</f>
        <v>160.9</v>
      </c>
      <c r="F23" s="8">
        <f>VLOOKUP(A23,Dataset!$1:$1048576,22,FALSE)</f>
        <v>79.400000000000006</v>
      </c>
    </row>
    <row r="24" spans="1:6" ht="15" x14ac:dyDescent="0.25">
      <c r="A24" s="7" t="s">
        <v>32</v>
      </c>
      <c r="B24" s="11">
        <f>VLOOKUP(A24,Dataset!$1:$1048576,7,FALSE)</f>
        <v>-1</v>
      </c>
      <c r="C24" s="11">
        <f>VLOOKUP(A24,Dataset!$1:$1048576,14,FALSE)</f>
        <v>-1</v>
      </c>
      <c r="D24" s="11">
        <f>VLOOKUP(A24,Dataset!$1:$1048576,18,FALSE)</f>
        <v>-1</v>
      </c>
      <c r="E24" s="11">
        <f>VLOOKUP(A24,Dataset!$1:$1048576,20,FALSE)</f>
        <v>-1</v>
      </c>
      <c r="F24" s="8">
        <f>VLOOKUP(A24,Dataset!$1:$1048576,22,FALSE)</f>
        <v>-1</v>
      </c>
    </row>
    <row r="25" spans="1:6" ht="15" x14ac:dyDescent="0.25">
      <c r="A25" s="7" t="s">
        <v>34</v>
      </c>
      <c r="B25" s="11">
        <f>VLOOKUP(A25,Dataset!$1:$1048576,7,FALSE)</f>
        <v>43.3</v>
      </c>
      <c r="C25" s="11">
        <f>VLOOKUP(A25,Dataset!$1:$1048576,14,FALSE)</f>
        <v>128.6</v>
      </c>
      <c r="D25" s="11">
        <f>VLOOKUP(A25,Dataset!$1:$1048576,18,FALSE)</f>
        <v>79.400000000000006</v>
      </c>
      <c r="E25" s="11">
        <f>VLOOKUP(A25,Dataset!$1:$1048576,20,FALSE)</f>
        <v>160.9</v>
      </c>
      <c r="F25" s="8">
        <f>VLOOKUP(A25,Dataset!$1:$1048576,22,FALSE)</f>
        <v>79.400000000000006</v>
      </c>
    </row>
    <row r="26" spans="1:6" ht="15" x14ac:dyDescent="0.25">
      <c r="A26" s="7" t="s">
        <v>37</v>
      </c>
      <c r="B26" s="11">
        <f>VLOOKUP(A26,Dataset!$1:$1048576,7,FALSE)</f>
        <v>49.1</v>
      </c>
      <c r="C26" s="11">
        <f>VLOOKUP(A26,Dataset!$1:$1048576,14,FALSE)</f>
        <v>146.80000000000001</v>
      </c>
      <c r="D26" s="11">
        <f>VLOOKUP(A26,Dataset!$1:$1048576,18,FALSE)</f>
        <v>90.9</v>
      </c>
      <c r="E26" s="11">
        <f>VLOOKUP(A26,Dataset!$1:$1048576,20,FALSE)</f>
        <v>183.5</v>
      </c>
      <c r="F26" s="8">
        <f>VLOOKUP(A26,Dataset!$1:$1048576,22,FALSE)</f>
        <v>90.9</v>
      </c>
    </row>
    <row r="27" spans="1:6" ht="15" x14ac:dyDescent="0.25">
      <c r="A27" s="7" t="s">
        <v>39</v>
      </c>
      <c r="B27" s="11">
        <f>VLOOKUP(A27,Dataset!$1:$1048576,7,FALSE)</f>
        <v>51.8</v>
      </c>
      <c r="C27" s="11">
        <f>VLOOKUP(A27,Dataset!$1:$1048576,14,FALSE)</f>
        <v>156.4</v>
      </c>
      <c r="D27" s="11">
        <f>VLOOKUP(A27,Dataset!$1:$1048576,18,FALSE)</f>
        <v>93.1</v>
      </c>
      <c r="E27" s="11">
        <f>VLOOKUP(A27,Dataset!$1:$1048576,20,FALSE)</f>
        <v>188.1</v>
      </c>
      <c r="F27" s="8">
        <f>VLOOKUP(A27,Dataset!$1:$1048576,22,FALSE)</f>
        <v>93.1</v>
      </c>
    </row>
    <row r="28" spans="1:6" ht="15" x14ac:dyDescent="0.25">
      <c r="A28" s="17" t="s">
        <v>82</v>
      </c>
      <c r="B28" s="29">
        <f>MIN(B6:B27)</f>
        <v>-1</v>
      </c>
      <c r="C28" s="29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5" x14ac:dyDescent="0.25">
      <c r="A29" s="17" t="s">
        <v>83</v>
      </c>
      <c r="B29" s="29">
        <f>MAX(B6:B27)</f>
        <v>51.8</v>
      </c>
      <c r="C29" s="29">
        <f>MAX(C6:C27)</f>
        <v>156.4</v>
      </c>
      <c r="D29" s="29">
        <f>MAX(D6:D27)</f>
        <v>93.1</v>
      </c>
      <c r="E29" s="29">
        <f>MAX(E6:E27)</f>
        <v>188.1</v>
      </c>
      <c r="F29" s="29">
        <f>MAX(F6:F27)</f>
        <v>93.1</v>
      </c>
    </row>
    <row r="30" spans="1:6" ht="15" x14ac:dyDescent="0.25">
      <c r="A30" s="17" t="s">
        <v>84</v>
      </c>
      <c r="B30" s="29">
        <f>AVERAGE(B6:B27)</f>
        <v>20.827272727272728</v>
      </c>
      <c r="C30" s="29">
        <f>AVERAGE(C6:C27)</f>
        <v>62.377272727272725</v>
      </c>
      <c r="D30" s="29">
        <f>AVERAGE(D6:D27)</f>
        <v>37.800000000000004</v>
      </c>
      <c r="E30" s="29">
        <f>AVERAGE(E6:E27)</f>
        <v>76.418181818181822</v>
      </c>
      <c r="F30" s="29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6"/>
  <sheetViews>
    <sheetView zoomScaleNormal="100" workbookViewId="0">
      <selection activeCell="H14" sqref="H1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8" customFormat="1" ht="21" x14ac:dyDescent="0.35">
      <c r="A1" s="39" t="s">
        <v>56</v>
      </c>
      <c r="B1" s="38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0" t="s">
        <v>53</v>
      </c>
      <c r="B5" s="53" t="s">
        <v>180</v>
      </c>
    </row>
    <row r="6" spans="1:10" ht="18.75" x14ac:dyDescent="0.3">
      <c r="A6" s="40" t="s">
        <v>153</v>
      </c>
      <c r="B6" s="37" t="s">
        <v>181</v>
      </c>
    </row>
    <row r="7" spans="1:10" ht="18.75" x14ac:dyDescent="0.3">
      <c r="A7" s="40"/>
      <c r="B7" s="37"/>
    </row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46" t="s">
        <v>103</v>
      </c>
      <c r="B15" s="47" t="s">
        <v>49</v>
      </c>
      <c r="C15" s="48" t="s">
        <v>50</v>
      </c>
      <c r="D15" s="47" t="s">
        <v>51</v>
      </c>
      <c r="E15" s="48" t="s">
        <v>52</v>
      </c>
      <c r="F15" s="47" t="s">
        <v>54</v>
      </c>
    </row>
    <row r="16" spans="1:10" x14ac:dyDescent="0.25">
      <c r="A16" s="49" t="s">
        <v>121</v>
      </c>
      <c r="B16" s="50" t="str">
        <f>LEFT(A16, FIND("-", A16) - 1)</f>
        <v>20000</v>
      </c>
      <c r="C16" s="50" t="s">
        <v>5</v>
      </c>
      <c r="D16" s="50">
        <v>0</v>
      </c>
      <c r="E16" s="51" t="s">
        <v>6</v>
      </c>
      <c r="F16" s="50">
        <v>24</v>
      </c>
    </row>
    <row r="17" spans="1:6" x14ac:dyDescent="0.25">
      <c r="A17" s="49" t="s">
        <v>122</v>
      </c>
      <c r="B17" s="50" t="str">
        <f t="shared" ref="B17:B54" si="0">LEFT(A17, FIND("-", A17) - 1)</f>
        <v>20002</v>
      </c>
      <c r="C17" s="50" t="s">
        <v>5</v>
      </c>
      <c r="D17" s="50">
        <v>0</v>
      </c>
      <c r="E17" s="51" t="s">
        <v>6</v>
      </c>
      <c r="F17" s="50">
        <v>24</v>
      </c>
    </row>
    <row r="18" spans="1:6" x14ac:dyDescent="0.25">
      <c r="A18" s="49" t="s">
        <v>123</v>
      </c>
      <c r="B18" s="50" t="str">
        <f t="shared" si="0"/>
        <v>20004</v>
      </c>
      <c r="C18" s="50" t="s">
        <v>5</v>
      </c>
      <c r="D18" s="50">
        <v>0</v>
      </c>
      <c r="E18" s="51" t="s">
        <v>6</v>
      </c>
      <c r="F18" s="50">
        <v>24</v>
      </c>
    </row>
    <row r="19" spans="1:6" x14ac:dyDescent="0.25">
      <c r="A19" s="49" t="s">
        <v>124</v>
      </c>
      <c r="B19" s="50" t="str">
        <f t="shared" si="0"/>
        <v>20006</v>
      </c>
      <c r="C19" s="50" t="s">
        <v>5</v>
      </c>
      <c r="D19" s="50">
        <v>0</v>
      </c>
      <c r="E19" s="51" t="s">
        <v>6</v>
      </c>
      <c r="F19" s="50">
        <v>24</v>
      </c>
    </row>
    <row r="20" spans="1:6" x14ac:dyDescent="0.25">
      <c r="A20" s="49" t="s">
        <v>125</v>
      </c>
      <c r="B20" s="50" t="str">
        <f t="shared" si="0"/>
        <v>20008</v>
      </c>
      <c r="C20" s="50" t="s">
        <v>5</v>
      </c>
      <c r="D20" s="50">
        <v>0</v>
      </c>
      <c r="E20" s="51" t="s">
        <v>6</v>
      </c>
      <c r="F20" s="50">
        <v>24</v>
      </c>
    </row>
    <row r="21" spans="1:6" x14ac:dyDescent="0.25">
      <c r="A21" s="49" t="s">
        <v>126</v>
      </c>
      <c r="B21" s="50" t="str">
        <f t="shared" si="0"/>
        <v>20010</v>
      </c>
      <c r="C21" s="50" t="s">
        <v>5</v>
      </c>
      <c r="D21" s="50">
        <v>0</v>
      </c>
      <c r="E21" s="51" t="s">
        <v>6</v>
      </c>
      <c r="F21" s="50">
        <v>24</v>
      </c>
    </row>
    <row r="22" spans="1:6" x14ac:dyDescent="0.25">
      <c r="A22" s="49" t="s">
        <v>127</v>
      </c>
      <c r="B22" s="50" t="str">
        <f t="shared" si="0"/>
        <v>20012</v>
      </c>
      <c r="C22" s="50" t="s">
        <v>5</v>
      </c>
      <c r="D22" s="50">
        <v>0</v>
      </c>
      <c r="E22" s="51" t="s">
        <v>6</v>
      </c>
      <c r="F22" s="50">
        <v>24</v>
      </c>
    </row>
    <row r="23" spans="1:6" x14ac:dyDescent="0.25">
      <c r="A23" s="49" t="s">
        <v>128</v>
      </c>
      <c r="B23" s="50" t="str">
        <f t="shared" si="0"/>
        <v>20014</v>
      </c>
      <c r="C23" s="50" t="s">
        <v>5</v>
      </c>
      <c r="D23" s="50">
        <v>0</v>
      </c>
      <c r="E23" s="51" t="s">
        <v>6</v>
      </c>
      <c r="F23" s="50">
        <v>24</v>
      </c>
    </row>
    <row r="24" spans="1:6" x14ac:dyDescent="0.25">
      <c r="A24" s="49" t="s">
        <v>129</v>
      </c>
      <c r="B24" s="50" t="str">
        <f t="shared" si="0"/>
        <v>20016</v>
      </c>
      <c r="C24" s="50" t="s">
        <v>5</v>
      </c>
      <c r="D24" s="50">
        <v>0</v>
      </c>
      <c r="E24" s="51" t="s">
        <v>6</v>
      </c>
      <c r="F24" s="50">
        <v>24</v>
      </c>
    </row>
    <row r="25" spans="1:6" x14ac:dyDescent="0.25">
      <c r="A25" s="49" t="s">
        <v>130</v>
      </c>
      <c r="B25" s="50" t="str">
        <f t="shared" si="0"/>
        <v>20018</v>
      </c>
      <c r="C25" s="50" t="s">
        <v>5</v>
      </c>
      <c r="D25" s="50">
        <v>0</v>
      </c>
      <c r="E25" s="51" t="s">
        <v>6</v>
      </c>
      <c r="F25" s="50">
        <v>24</v>
      </c>
    </row>
    <row r="26" spans="1:6" x14ac:dyDescent="0.25">
      <c r="A26" s="49" t="s">
        <v>131</v>
      </c>
      <c r="B26" s="50" t="str">
        <f t="shared" si="0"/>
        <v>20020</v>
      </c>
      <c r="C26" s="50" t="s">
        <v>5</v>
      </c>
      <c r="D26" s="50">
        <v>0</v>
      </c>
      <c r="E26" s="51" t="s">
        <v>6</v>
      </c>
      <c r="F26" s="50">
        <v>24</v>
      </c>
    </row>
    <row r="27" spans="1:6" x14ac:dyDescent="0.25">
      <c r="A27" s="49" t="s">
        <v>132</v>
      </c>
      <c r="B27" s="50" t="str">
        <f t="shared" si="0"/>
        <v>20022</v>
      </c>
      <c r="C27" s="50" t="s">
        <v>5</v>
      </c>
      <c r="D27" s="50">
        <v>0</v>
      </c>
      <c r="E27" s="51" t="s">
        <v>6</v>
      </c>
      <c r="F27" s="50">
        <v>24</v>
      </c>
    </row>
    <row r="28" spans="1:6" x14ac:dyDescent="0.25">
      <c r="A28" s="49" t="s">
        <v>133</v>
      </c>
      <c r="B28" s="50" t="str">
        <f t="shared" si="0"/>
        <v>20024</v>
      </c>
      <c r="C28" s="50" t="s">
        <v>5</v>
      </c>
      <c r="D28" s="50">
        <v>0</v>
      </c>
      <c r="E28" s="51" t="s">
        <v>6</v>
      </c>
      <c r="F28" s="50">
        <v>24</v>
      </c>
    </row>
    <row r="29" spans="1:6" x14ac:dyDescent="0.25">
      <c r="A29" s="49" t="s">
        <v>134</v>
      </c>
      <c r="B29" s="50" t="str">
        <f t="shared" si="0"/>
        <v>20026</v>
      </c>
      <c r="C29" s="50" t="s">
        <v>5</v>
      </c>
      <c r="D29" s="50">
        <v>0</v>
      </c>
      <c r="E29" s="51" t="s">
        <v>6</v>
      </c>
      <c r="F29" s="50">
        <v>24</v>
      </c>
    </row>
    <row r="30" spans="1:6" x14ac:dyDescent="0.25">
      <c r="A30" s="49" t="s">
        <v>135</v>
      </c>
      <c r="B30" s="50" t="str">
        <f t="shared" si="0"/>
        <v>20028</v>
      </c>
      <c r="C30" s="50" t="s">
        <v>5</v>
      </c>
      <c r="D30" s="50">
        <v>0</v>
      </c>
      <c r="E30" s="51" t="s">
        <v>6</v>
      </c>
      <c r="F30" s="50">
        <v>24</v>
      </c>
    </row>
    <row r="31" spans="1:6" x14ac:dyDescent="0.25">
      <c r="A31" s="49" t="s">
        <v>136</v>
      </c>
      <c r="B31" s="50" t="str">
        <f t="shared" si="0"/>
        <v>20030</v>
      </c>
      <c r="C31" s="50" t="s">
        <v>5</v>
      </c>
      <c r="D31" s="50">
        <v>0</v>
      </c>
      <c r="E31" s="51" t="s">
        <v>6</v>
      </c>
      <c r="F31" s="50">
        <v>24</v>
      </c>
    </row>
    <row r="32" spans="1:6" x14ac:dyDescent="0.25">
      <c r="A32" s="49" t="s">
        <v>137</v>
      </c>
      <c r="B32" s="50" t="str">
        <f t="shared" si="0"/>
        <v>20032</v>
      </c>
      <c r="C32" s="50" t="s">
        <v>5</v>
      </c>
      <c r="D32" s="50">
        <v>0</v>
      </c>
      <c r="E32" s="51" t="s">
        <v>6</v>
      </c>
      <c r="F32" s="50">
        <v>24</v>
      </c>
    </row>
    <row r="33" spans="1:6" x14ac:dyDescent="0.25">
      <c r="A33" s="49" t="s">
        <v>138</v>
      </c>
      <c r="B33" s="50" t="str">
        <f t="shared" si="0"/>
        <v>20034</v>
      </c>
      <c r="C33" s="50" t="s">
        <v>5</v>
      </c>
      <c r="D33" s="50">
        <v>0</v>
      </c>
      <c r="E33" s="51" t="s">
        <v>6</v>
      </c>
      <c r="F33" s="50">
        <v>24</v>
      </c>
    </row>
    <row r="34" spans="1:6" x14ac:dyDescent="0.25">
      <c r="A34" s="49" t="s">
        <v>139</v>
      </c>
      <c r="B34" s="50" t="str">
        <f t="shared" si="0"/>
        <v>20036</v>
      </c>
      <c r="C34" s="50" t="s">
        <v>5</v>
      </c>
      <c r="D34" s="50">
        <v>0</v>
      </c>
      <c r="E34" s="51" t="s">
        <v>6</v>
      </c>
      <c r="F34" s="50">
        <v>24</v>
      </c>
    </row>
    <row r="35" spans="1:6" x14ac:dyDescent="0.25">
      <c r="A35" s="49" t="s">
        <v>140</v>
      </c>
      <c r="B35" s="50" t="str">
        <f t="shared" si="0"/>
        <v>20038</v>
      </c>
      <c r="C35" s="50" t="s">
        <v>5</v>
      </c>
      <c r="D35" s="50">
        <v>0</v>
      </c>
      <c r="E35" s="51" t="s">
        <v>6</v>
      </c>
      <c r="F35" s="50">
        <v>24</v>
      </c>
    </row>
    <row r="36" spans="1:6" x14ac:dyDescent="0.25">
      <c r="A36" s="49" t="s">
        <v>141</v>
      </c>
      <c r="B36" s="50" t="str">
        <f t="shared" si="0"/>
        <v>20040</v>
      </c>
      <c r="C36" s="50" t="s">
        <v>5</v>
      </c>
      <c r="D36" s="50">
        <v>0</v>
      </c>
      <c r="E36" s="51" t="s">
        <v>6</v>
      </c>
      <c r="F36" s="50">
        <v>24</v>
      </c>
    </row>
    <row r="37" spans="1:6" x14ac:dyDescent="0.25">
      <c r="A37" s="49" t="s">
        <v>142</v>
      </c>
      <c r="B37" s="50" t="str">
        <f t="shared" si="0"/>
        <v>20042</v>
      </c>
      <c r="C37" s="50" t="s">
        <v>5</v>
      </c>
      <c r="D37" s="50">
        <v>0</v>
      </c>
      <c r="E37" s="51" t="s">
        <v>6</v>
      </c>
      <c r="F37" s="50">
        <v>24</v>
      </c>
    </row>
    <row r="38" spans="1:6" x14ac:dyDescent="0.25">
      <c r="A38" s="49" t="s">
        <v>143</v>
      </c>
      <c r="B38" s="50" t="str">
        <f t="shared" si="0"/>
        <v>20044</v>
      </c>
      <c r="C38" s="50" t="s">
        <v>5</v>
      </c>
      <c r="D38" s="50">
        <v>0</v>
      </c>
      <c r="E38" s="51" t="s">
        <v>6</v>
      </c>
      <c r="F38" s="50">
        <v>24</v>
      </c>
    </row>
    <row r="39" spans="1:6" x14ac:dyDescent="0.25">
      <c r="A39" s="49" t="s">
        <v>144</v>
      </c>
      <c r="B39" s="50" t="str">
        <f t="shared" si="0"/>
        <v>20046</v>
      </c>
      <c r="C39" s="50" t="s">
        <v>5</v>
      </c>
      <c r="D39" s="50">
        <v>0</v>
      </c>
      <c r="E39" s="51" t="s">
        <v>6</v>
      </c>
      <c r="F39" s="50">
        <v>24</v>
      </c>
    </row>
    <row r="40" spans="1:6" x14ac:dyDescent="0.25">
      <c r="A40" s="49" t="s">
        <v>145</v>
      </c>
      <c r="B40" s="50" t="str">
        <f t="shared" si="0"/>
        <v>20048</v>
      </c>
      <c r="C40" s="50" t="s">
        <v>5</v>
      </c>
      <c r="D40" s="50">
        <v>0</v>
      </c>
      <c r="E40" s="51" t="s">
        <v>6</v>
      </c>
      <c r="F40" s="50">
        <v>24</v>
      </c>
    </row>
    <row r="41" spans="1:6" x14ac:dyDescent="0.25">
      <c r="A41" s="49" t="s">
        <v>146</v>
      </c>
      <c r="B41" s="50" t="str">
        <f t="shared" si="0"/>
        <v>20050</v>
      </c>
      <c r="C41" s="50" t="s">
        <v>5</v>
      </c>
      <c r="D41" s="50">
        <v>0</v>
      </c>
      <c r="E41" s="51" t="s">
        <v>6</v>
      </c>
      <c r="F41" s="50">
        <v>24</v>
      </c>
    </row>
    <row r="42" spans="1:6" x14ac:dyDescent="0.25">
      <c r="A42" s="49" t="s">
        <v>147</v>
      </c>
      <c r="B42" s="50" t="str">
        <f t="shared" si="0"/>
        <v>20052</v>
      </c>
      <c r="C42" s="50" t="s">
        <v>5</v>
      </c>
      <c r="D42" s="50">
        <v>0</v>
      </c>
      <c r="E42" s="51" t="s">
        <v>6</v>
      </c>
      <c r="F42" s="50">
        <v>24</v>
      </c>
    </row>
    <row r="43" spans="1:6" x14ac:dyDescent="0.25">
      <c r="A43" s="49" t="s">
        <v>148</v>
      </c>
      <c r="B43" s="50" t="str">
        <f t="shared" si="0"/>
        <v>20054</v>
      </c>
      <c r="C43" s="50" t="s">
        <v>5</v>
      </c>
      <c r="D43" s="50">
        <v>0</v>
      </c>
      <c r="E43" s="51" t="s">
        <v>6</v>
      </c>
      <c r="F43" s="50">
        <v>24</v>
      </c>
    </row>
    <row r="44" spans="1:6" x14ac:dyDescent="0.25">
      <c r="A44" s="49" t="s">
        <v>149</v>
      </c>
      <c r="B44" s="50" t="str">
        <f t="shared" si="0"/>
        <v>20058</v>
      </c>
      <c r="C44" s="50" t="s">
        <v>5</v>
      </c>
      <c r="D44" s="50">
        <v>0</v>
      </c>
      <c r="E44" s="51" t="s">
        <v>6</v>
      </c>
      <c r="F44" s="50">
        <v>24</v>
      </c>
    </row>
    <row r="45" spans="1:6" x14ac:dyDescent="0.25">
      <c r="A45" s="49" t="s">
        <v>150</v>
      </c>
      <c r="B45" s="50" t="str">
        <f t="shared" si="0"/>
        <v>20060</v>
      </c>
      <c r="C45" s="50" t="s">
        <v>5</v>
      </c>
      <c r="D45" s="50">
        <v>0</v>
      </c>
      <c r="E45" s="51" t="s">
        <v>6</v>
      </c>
      <c r="F45" s="50">
        <v>24</v>
      </c>
    </row>
    <row r="46" spans="1:6" x14ac:dyDescent="0.25">
      <c r="A46" s="49" t="s">
        <v>112</v>
      </c>
      <c r="B46" s="50" t="str">
        <f t="shared" si="0"/>
        <v>21000</v>
      </c>
      <c r="C46" s="50" t="s">
        <v>5</v>
      </c>
      <c r="D46" s="50">
        <v>0</v>
      </c>
      <c r="E46" s="51" t="s">
        <v>6</v>
      </c>
      <c r="F46" s="50">
        <v>24</v>
      </c>
    </row>
    <row r="47" spans="1:6" x14ac:dyDescent="0.25">
      <c r="A47" s="49" t="s">
        <v>113</v>
      </c>
      <c r="B47" s="50" t="str">
        <f t="shared" si="0"/>
        <v>21002</v>
      </c>
      <c r="C47" s="50" t="s">
        <v>5</v>
      </c>
      <c r="D47" s="50">
        <v>0</v>
      </c>
      <c r="E47" s="51" t="s">
        <v>6</v>
      </c>
      <c r="F47" s="50">
        <v>24</v>
      </c>
    </row>
    <row r="48" spans="1:6" x14ac:dyDescent="0.25">
      <c r="A48" s="49" t="s">
        <v>114</v>
      </c>
      <c r="B48" s="50" t="str">
        <f t="shared" si="0"/>
        <v>21004</v>
      </c>
      <c r="C48" s="50" t="s">
        <v>5</v>
      </c>
      <c r="D48" s="50">
        <v>0</v>
      </c>
      <c r="E48" s="51" t="s">
        <v>6</v>
      </c>
      <c r="F48" s="50">
        <v>24</v>
      </c>
    </row>
    <row r="49" spans="1:6" x14ac:dyDescent="0.25">
      <c r="A49" s="49" t="s">
        <v>115</v>
      </c>
      <c r="B49" s="50" t="str">
        <f>LEFT(A49, FIND("-", A49) - 1)</f>
        <v>21006</v>
      </c>
      <c r="C49" s="50" t="s">
        <v>5</v>
      </c>
      <c r="D49" s="50">
        <v>0</v>
      </c>
      <c r="E49" s="51" t="s">
        <v>6</v>
      </c>
      <c r="F49" s="50">
        <v>24</v>
      </c>
    </row>
    <row r="50" spans="1:6" x14ac:dyDescent="0.25">
      <c r="A50" s="49" t="s">
        <v>116</v>
      </c>
      <c r="B50" s="50" t="str">
        <f t="shared" si="0"/>
        <v>21008</v>
      </c>
      <c r="C50" s="50" t="s">
        <v>5</v>
      </c>
      <c r="D50" s="50">
        <v>0</v>
      </c>
      <c r="E50" s="51" t="s">
        <v>6</v>
      </c>
      <c r="F50" s="50">
        <v>24</v>
      </c>
    </row>
    <row r="51" spans="1:6" x14ac:dyDescent="0.25">
      <c r="A51" s="49" t="s">
        <v>117</v>
      </c>
      <c r="B51" s="50" t="str">
        <f t="shared" si="0"/>
        <v>21010</v>
      </c>
      <c r="C51" s="50" t="s">
        <v>5</v>
      </c>
      <c r="D51" s="50">
        <v>0</v>
      </c>
      <c r="E51" s="51" t="s">
        <v>6</v>
      </c>
      <c r="F51" s="50">
        <v>24</v>
      </c>
    </row>
    <row r="52" spans="1:6" x14ac:dyDescent="0.25">
      <c r="A52" s="49" t="s">
        <v>118</v>
      </c>
      <c r="B52" s="50" t="str">
        <f t="shared" si="0"/>
        <v>21012</v>
      </c>
      <c r="C52" s="50" t="s">
        <v>5</v>
      </c>
      <c r="D52" s="50">
        <v>0</v>
      </c>
      <c r="E52" s="51" t="s">
        <v>6</v>
      </c>
      <c r="F52" s="50">
        <v>24</v>
      </c>
    </row>
    <row r="53" spans="1:6" x14ac:dyDescent="0.25">
      <c r="A53" s="49" t="s">
        <v>119</v>
      </c>
      <c r="B53" s="50" t="str">
        <f t="shared" si="0"/>
        <v>21014</v>
      </c>
      <c r="C53" s="50" t="s">
        <v>5</v>
      </c>
      <c r="D53" s="50">
        <v>0</v>
      </c>
      <c r="E53" s="51" t="s">
        <v>6</v>
      </c>
      <c r="F53" s="50">
        <v>24</v>
      </c>
    </row>
    <row r="54" spans="1:6" x14ac:dyDescent="0.25">
      <c r="A54" s="52" t="s">
        <v>120</v>
      </c>
      <c r="B54" s="50" t="str">
        <f t="shared" si="0"/>
        <v>21016</v>
      </c>
      <c r="C54" s="50" t="s">
        <v>5</v>
      </c>
      <c r="D54" s="50">
        <v>0</v>
      </c>
      <c r="E54" s="51" t="s">
        <v>6</v>
      </c>
      <c r="F54" s="50">
        <v>24</v>
      </c>
    </row>
    <row r="55" spans="1:6" x14ac:dyDescent="0.25">
      <c r="E55" s="51"/>
    </row>
    <row r="56" spans="1:6" x14ac:dyDescent="0.25">
      <c r="E56" s="51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2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39" t="s">
        <v>85</v>
      </c>
      <c r="B1" s="38" t="s">
        <v>167</v>
      </c>
    </row>
    <row r="2" spans="1:3" ht="18.75" x14ac:dyDescent="0.3">
      <c r="B2" s="37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178</v>
      </c>
    </row>
    <row r="7" spans="1:3" ht="15" x14ac:dyDescent="0.25">
      <c r="A7" s="3" t="s">
        <v>153</v>
      </c>
      <c r="B7" s="1" t="s">
        <v>179</v>
      </c>
    </row>
    <row r="10" spans="1:3" ht="23.25" x14ac:dyDescent="0.35">
      <c r="A10" s="16" t="s">
        <v>162</v>
      </c>
    </row>
    <row r="11" spans="1:3" ht="15" x14ac:dyDescent="0.25">
      <c r="A11" s="30" t="s">
        <v>86</v>
      </c>
      <c r="B11" s="15" t="s">
        <v>87</v>
      </c>
      <c r="C11" s="15" t="s">
        <v>88</v>
      </c>
    </row>
    <row r="12" spans="1:3" ht="15" x14ac:dyDescent="0.25">
      <c r="A12" s="30">
        <v>44927</v>
      </c>
      <c r="B12" s="15" t="s">
        <v>59</v>
      </c>
      <c r="C12" s="15">
        <v>200</v>
      </c>
    </row>
    <row r="13" spans="1:3" ht="15" x14ac:dyDescent="0.25">
      <c r="A13" s="30">
        <v>44928</v>
      </c>
      <c r="B13" s="15" t="s">
        <v>60</v>
      </c>
      <c r="C13" s="15">
        <v>20</v>
      </c>
    </row>
    <row r="14" spans="1:3" ht="15" x14ac:dyDescent="0.25">
      <c r="A14" s="30">
        <v>44929</v>
      </c>
      <c r="B14" s="15" t="s">
        <v>61</v>
      </c>
      <c r="C14" s="15">
        <v>50</v>
      </c>
    </row>
    <row r="15" spans="1:3" ht="15" x14ac:dyDescent="0.25">
      <c r="A15" s="30">
        <v>44930</v>
      </c>
      <c r="B15" s="15" t="s">
        <v>62</v>
      </c>
      <c r="C15" s="15">
        <v>20</v>
      </c>
    </row>
    <row r="16" spans="1:3" ht="15" x14ac:dyDescent="0.25">
      <c r="A16" s="30">
        <v>44931</v>
      </c>
      <c r="B16" s="15" t="s">
        <v>63</v>
      </c>
      <c r="C16" s="15">
        <v>10</v>
      </c>
    </row>
    <row r="17" spans="1:3" ht="15" x14ac:dyDescent="0.25">
      <c r="A17" s="30">
        <v>44932</v>
      </c>
      <c r="B17" s="15" t="s">
        <v>154</v>
      </c>
      <c r="C17" s="15">
        <v>150</v>
      </c>
    </row>
    <row r="18" spans="1:3" ht="15" x14ac:dyDescent="0.25">
      <c r="A18" s="30">
        <v>44933</v>
      </c>
      <c r="B18" s="15" t="s">
        <v>155</v>
      </c>
      <c r="C18" s="15">
        <v>80</v>
      </c>
    </row>
    <row r="19" spans="1:3" ht="15" x14ac:dyDescent="0.25">
      <c r="A19" s="30">
        <v>44934</v>
      </c>
      <c r="B19" s="15" t="s">
        <v>156</v>
      </c>
      <c r="C19" s="15">
        <v>20</v>
      </c>
    </row>
    <row r="20" spans="1:3" ht="15" x14ac:dyDescent="0.25">
      <c r="A20" s="30">
        <v>44935</v>
      </c>
      <c r="B20" s="15" t="s">
        <v>157</v>
      </c>
      <c r="C20" s="15">
        <v>30</v>
      </c>
    </row>
    <row r="21" spans="1:3" ht="15" x14ac:dyDescent="0.25">
      <c r="A21" s="30">
        <v>44936</v>
      </c>
      <c r="B21" s="15" t="s">
        <v>158</v>
      </c>
      <c r="C21" s="15">
        <v>20</v>
      </c>
    </row>
    <row r="22" spans="1:3" ht="15" x14ac:dyDescent="0.25">
      <c r="B22" s="15" t="s">
        <v>159</v>
      </c>
      <c r="C22" s="23">
        <f>SUM(C11:C21)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39" t="s">
        <v>98</v>
      </c>
      <c r="B1" s="38" t="s">
        <v>175</v>
      </c>
    </row>
    <row r="3" spans="1:14" ht="15" x14ac:dyDescent="0.25">
      <c r="B3" s="1" t="s">
        <v>151</v>
      </c>
    </row>
    <row r="4" spans="1:14" ht="18.75" x14ac:dyDescent="0.3">
      <c r="A4" s="40" t="s">
        <v>53</v>
      </c>
      <c r="B4" s="1"/>
    </row>
    <row r="5" spans="1:14" ht="18.75" x14ac:dyDescent="0.3">
      <c r="A5" s="40" t="s">
        <v>153</v>
      </c>
      <c r="B5" s="1"/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25" x14ac:dyDescent="0.35">
      <c r="A21" s="16" t="s">
        <v>168</v>
      </c>
    </row>
    <row r="22" spans="1:14" ht="15" x14ac:dyDescent="0.25">
      <c r="A22" s="13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1">
        <v>10102</v>
      </c>
      <c r="C23" s="41"/>
    </row>
    <row r="24" spans="1:14" ht="15" x14ac:dyDescent="0.25">
      <c r="A24" s="7">
        <v>10100</v>
      </c>
      <c r="B24" s="11">
        <v>10104</v>
      </c>
      <c r="C24" s="41"/>
    </row>
    <row r="25" spans="1:14" ht="15" x14ac:dyDescent="0.25">
      <c r="A25" s="7">
        <v>10108</v>
      </c>
      <c r="B25" s="11">
        <v>10102</v>
      </c>
      <c r="C25" s="41"/>
    </row>
    <row r="26" spans="1:14" ht="15" x14ac:dyDescent="0.25">
      <c r="A26" s="7">
        <v>10100</v>
      </c>
      <c r="B26" s="11">
        <v>10106</v>
      </c>
      <c r="C26" s="41"/>
    </row>
    <row r="27" spans="1:14" ht="15" x14ac:dyDescent="0.25">
      <c r="A27" s="7">
        <v>10108</v>
      </c>
      <c r="B27" s="11">
        <v>10110</v>
      </c>
      <c r="C27" s="41"/>
    </row>
    <row r="28" spans="1:14" ht="15" x14ac:dyDescent="0.25">
      <c r="A28" s="7">
        <v>10102</v>
      </c>
      <c r="B28" s="11">
        <v>10104</v>
      </c>
      <c r="C28" s="41"/>
    </row>
    <row r="29" spans="1:14" ht="15" x14ac:dyDescent="0.25">
      <c r="A29" s="7">
        <v>10106</v>
      </c>
      <c r="B29" s="11">
        <v>10108</v>
      </c>
      <c r="C29" s="41"/>
    </row>
    <row r="30" spans="1:14" ht="15" x14ac:dyDescent="0.25">
      <c r="A30" s="7">
        <v>10102</v>
      </c>
      <c r="B30" s="11">
        <v>10106</v>
      </c>
      <c r="C30" s="41"/>
    </row>
    <row r="31" spans="1:14" ht="15" x14ac:dyDescent="0.25">
      <c r="A31" s="7">
        <v>10110</v>
      </c>
      <c r="B31" s="11">
        <v>10114</v>
      </c>
      <c r="C31" s="41"/>
    </row>
    <row r="32" spans="1:14" ht="15" x14ac:dyDescent="0.25">
      <c r="A32" s="7">
        <v>10104</v>
      </c>
      <c r="B32" s="11">
        <v>10106</v>
      </c>
      <c r="C32" s="41"/>
    </row>
    <row r="33" spans="1:3" ht="15" x14ac:dyDescent="0.25">
      <c r="A33" s="7">
        <v>10110</v>
      </c>
      <c r="B33" s="11">
        <v>10112</v>
      </c>
      <c r="C33" s="41"/>
    </row>
    <row r="34" spans="1:3" ht="15" x14ac:dyDescent="0.25">
      <c r="A34" s="7">
        <v>10100</v>
      </c>
      <c r="B34" s="11">
        <v>10114</v>
      </c>
      <c r="C34" s="41"/>
    </row>
    <row r="35" spans="1:3" ht="15" x14ac:dyDescent="0.25">
      <c r="A35" s="9">
        <v>10112</v>
      </c>
      <c r="B35" s="12">
        <v>10116</v>
      </c>
      <c r="C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GOD</cp:lastModifiedBy>
  <dcterms:created xsi:type="dcterms:W3CDTF">2015-02-10T17:33:11Z</dcterms:created>
  <dcterms:modified xsi:type="dcterms:W3CDTF">2023-12-10T16:57:21Z</dcterms:modified>
</cp:coreProperties>
</file>